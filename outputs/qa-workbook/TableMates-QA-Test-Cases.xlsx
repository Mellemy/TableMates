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 U F\Documents\Codex\2026-04-23-https-github-com-mellemy-tablemates-this\outputs\qa-workbook\"/>
    </mc:Choice>
  </mc:AlternateContent>
  <bookViews>
    <workbookView xWindow="0" yWindow="0" windowWidth="17256" windowHeight="5844"/>
  </bookViews>
  <sheets>
    <sheet name="QA Summary" sheetId="1" r:id="rId1"/>
    <sheet name="User Flow" sheetId="2" r:id="rId2"/>
    <sheet name="Admin Flow" sheetId="3" r:id="rId3"/>
    <sheet name="Integration" sheetId="4" r:id="rId4"/>
  </sheets>
  <calcPr calcId="152511"/>
</workbook>
</file>

<file path=xl/calcChain.xml><?xml version="1.0" encoding="utf-8"?>
<calcChain xmlns="http://schemas.openxmlformats.org/spreadsheetml/2006/main">
  <c r="C7" i="1" l="1"/>
  <c r="C6" i="1"/>
  <c r="C5" i="1"/>
</calcChain>
</file>

<file path=xl/sharedStrings.xml><?xml version="1.0" encoding="utf-8"?>
<sst xmlns="http://schemas.openxmlformats.org/spreadsheetml/2006/main" count="323" uniqueCount="217">
  <si>
    <t>TableMates QA Test Tracker</t>
  </si>
  <si>
    <t>Use this workbook to record user, admin, and integration testing before submission.</t>
  </si>
  <si>
    <t>Section</t>
  </si>
  <si>
    <t>Owner</t>
  </si>
  <si>
    <t>Progress</t>
  </si>
  <si>
    <t>Notes</t>
  </si>
  <si>
    <t>Demo Accounts</t>
  </si>
  <si>
    <t>Password</t>
  </si>
  <si>
    <t>Restaurant</t>
  </si>
  <si>
    <t>User Flow</t>
  </si>
  <si>
    <t>Frontend QA</t>
  </si>
  <si>
    <t>bellaadmin@tablemates.com</t>
  </si>
  <si>
    <t>admin123</t>
  </si>
  <si>
    <t>Bella Italia</t>
  </si>
  <si>
    <t>Admin Flow</t>
  </si>
  <si>
    <t>sushiadmin@tablemates.com</t>
  </si>
  <si>
    <t>Sushi House</t>
  </si>
  <si>
    <t>Integration</t>
  </si>
  <si>
    <t>Joint QA</t>
  </si>
  <si>
    <t>burgeradmin@tablemates.com</t>
  </si>
  <si>
    <t>Burger Corner</t>
  </si>
  <si>
    <t>goldenadmin@tablemates.com</t>
  </si>
  <si>
    <t>Golden Fork</t>
  </si>
  <si>
    <t>Execution Notes</t>
  </si>
  <si>
    <t>Status Legend</t>
  </si>
  <si>
    <t>1</t>
  </si>
  <si>
    <t>Run backend from project root using npm run dev</t>
  </si>
  <si>
    <t>Not Run</t>
  </si>
  <si>
    <t>Not tested yet</t>
  </si>
  <si>
    <t>2</t>
  </si>
  <si>
    <t>Run frontend from client using npm run dev</t>
  </si>
  <si>
    <t>Pass</t>
  </si>
  <si>
    <t>Worked as expected</t>
  </si>
  <si>
    <t>3</t>
  </si>
  <si>
    <t>Open http://localhost:5173 for UI testing</t>
  </si>
  <si>
    <t>Fail</t>
  </si>
  <si>
    <t>Needs bug fix</t>
  </si>
  <si>
    <t>4</t>
  </si>
  <si>
    <t>Use demo mode accounts listed on the right</t>
  </si>
  <si>
    <t>Blocked</t>
  </si>
  <si>
    <t>Cannot test due to dependency or issue</t>
  </si>
  <si>
    <t>5</t>
  </si>
  <si>
    <t>Record Pass, Fail, or Blocked in each test case row</t>
  </si>
  <si>
    <t>User Flow Test Cases</t>
  </si>
  <si>
    <t>Customer-facing functionality and validations.</t>
  </si>
  <si>
    <t>TC ID</t>
  </si>
  <si>
    <t>Test Case</t>
  </si>
  <si>
    <t>Steps</t>
  </si>
  <si>
    <t>Expected Result</t>
  </si>
  <si>
    <t>Priority</t>
  </si>
  <si>
    <t>Status</t>
  </si>
  <si>
    <t>Actual Result</t>
  </si>
  <si>
    <t>Comments</t>
  </si>
  <si>
    <t>U-01</t>
  </si>
  <si>
    <t>View homepage</t>
  </si>
  <si>
    <t>Open http://localhost:5173</t>
  </si>
  <si>
    <t>Homepage loads with restaurant list</t>
  </si>
  <si>
    <t>High</t>
  </si>
  <si>
    <t>U-02</t>
  </si>
  <si>
    <t>User signup success</t>
  </si>
  <si>
    <t>Go to Sign Up, enter valid email/password/confirm password, submit</t>
  </si>
  <si>
    <t>Account is created successfully</t>
  </si>
  <si>
    <t>U-03</t>
  </si>
  <si>
    <t>User signup with empty fields</t>
  </si>
  <si>
    <t>Leave one or more signup fields empty, submit</t>
  </si>
  <si>
    <t>Validation message is shown</t>
  </si>
  <si>
    <t>Medium</t>
  </si>
  <si>
    <t>U-04</t>
  </si>
  <si>
    <t>User signup with short password</t>
  </si>
  <si>
    <t>Enter a password under required length</t>
  </si>
  <si>
    <t>U-05</t>
  </si>
  <si>
    <t>User signup with mismatched passwords</t>
  </si>
  <si>
    <t>Enter different password and confirm password</t>
  </si>
  <si>
    <t>U-06</t>
  </si>
  <si>
    <t>User login success</t>
  </si>
  <si>
    <t>Go to Login, enter valid customer credentials, submit</t>
  </si>
  <si>
    <t>User is redirected to user dashboard</t>
  </si>
  <si>
    <t>U-07</t>
  </si>
  <si>
    <t>User login with wrong credentials</t>
  </si>
  <si>
    <t>Enter wrong email or password</t>
  </si>
  <si>
    <t>Error message is shown</t>
  </si>
  <si>
    <t>U-08</t>
  </si>
  <si>
    <t>Access protected user page without login</t>
  </si>
  <si>
    <t>Open reservation or user page directly without login</t>
  </si>
  <si>
    <t>User is redirected to login</t>
  </si>
  <si>
    <t>U-09</t>
  </si>
  <si>
    <t>Search restaurant</t>
  </si>
  <si>
    <t>Type restaurant name, location, or cuisine in search</t>
  </si>
  <si>
    <t>Matching restaurants are filtered correctly</t>
  </si>
  <si>
    <t>U-10</t>
  </si>
  <si>
    <t>Open reservation page</t>
  </si>
  <si>
    <t>Click View Tables on a restaurant</t>
  </si>
  <si>
    <t>Reservation page opens with correct restaurant selected</t>
  </si>
  <si>
    <t>U-11</t>
  </si>
  <si>
    <t>Show only available tables</t>
  </si>
  <si>
    <t>Open reservation page for a restaurant</t>
  </si>
  <si>
    <t>Only available tables appear in dropdown</t>
  </si>
  <si>
    <t>U-12</t>
  </si>
  <si>
    <t>Reservation validation empty fields</t>
  </si>
  <si>
    <t>Leave one or more reservation fields empty and submit</t>
  </si>
  <si>
    <t>Validation error is shown</t>
  </si>
  <si>
    <t>U-13</t>
  </si>
  <si>
    <t>Reservation invalid guest count</t>
  </si>
  <si>
    <t>Enter guest count as 0 or invalid number</t>
  </si>
  <si>
    <t>U-14</t>
  </si>
  <si>
    <t>Successful reservation</t>
  </si>
  <si>
    <t>Select available table, fill details, submit</t>
  </si>
  <si>
    <t>Reservation confirmation page appears</t>
  </si>
  <si>
    <t>U-15</t>
  </si>
  <si>
    <t>Reservation confirmation details</t>
  </si>
  <si>
    <t>Complete reservation</t>
  </si>
  <si>
    <t>Confirmation page shows correct restaurant, table, date, time, and guests</t>
  </si>
  <si>
    <t>U-16</t>
  </si>
  <si>
    <t>Book already reserved table</t>
  </si>
  <si>
    <t>Try to reserve a table that is already reserved</t>
  </si>
  <si>
    <t>Booking is blocked or table is unavailable</t>
  </si>
  <si>
    <t>U-17</t>
  </si>
  <si>
    <t>Logout user</t>
  </si>
  <si>
    <t>Click logout from user dashboard</t>
  </si>
  <si>
    <t>User session is cleared and returns to public page</t>
  </si>
  <si>
    <t>Admin Flow Test Cases</t>
  </si>
  <si>
    <t>Restaurant admin login, reservations, and table management.</t>
  </si>
  <si>
    <t>A-01</t>
  </si>
  <si>
    <t>Admin login success</t>
  </si>
  <si>
    <t>Open admin login, enter valid admin email and password</t>
  </si>
  <si>
    <t>Admin dashboard opens</t>
  </si>
  <si>
    <t>A-02</t>
  </si>
  <si>
    <t>Admin login invalid credentials</t>
  </si>
  <si>
    <t>Enter wrong admin credentials</t>
  </si>
  <si>
    <t>A-03</t>
  </si>
  <si>
    <t>Admin login with non-admin account</t>
  </si>
  <si>
    <t>Try logging in with customer account</t>
  </si>
  <si>
    <t>Access is denied with message</t>
  </si>
  <si>
    <t>A-04</t>
  </si>
  <si>
    <t>View own restaurant dashboard</t>
  </si>
  <si>
    <t>Login as one admin</t>
  </si>
  <si>
    <t>Only that restaurant's data is shown</t>
  </si>
  <si>
    <t>A-05</t>
  </si>
  <si>
    <t>Login as another restaurant admin</t>
  </si>
  <si>
    <t>Login using another demo admin account</t>
  </si>
  <si>
    <t>Correct restaurant dashboard is shown</t>
  </si>
  <si>
    <t>A-06</t>
  </si>
  <si>
    <t>View reservations list</t>
  </si>
  <si>
    <t>Open admin dashboard</t>
  </si>
  <si>
    <t>Reservation list loads correctly</t>
  </si>
  <si>
    <t>A-07</t>
  </si>
  <si>
    <t>Reservation appears after customer booking</t>
  </si>
  <si>
    <t>Make reservation as customer, then open admin dashboard</t>
  </si>
  <si>
    <t>New reservation appears in admin dashboard</t>
  </si>
  <si>
    <t>A-08</t>
  </si>
  <si>
    <t>Edit reservation</t>
  </si>
  <si>
    <t>Click edit on reservation, change values, save</t>
  </si>
  <si>
    <t>Reservation updates successfully</t>
  </si>
  <si>
    <t>A-09</t>
  </si>
  <si>
    <t>Delete reservation</t>
  </si>
  <si>
    <t>Delete a reservation</t>
  </si>
  <si>
    <t>Reservation is removed from dashboard</t>
  </si>
  <si>
    <t>A-10</t>
  </si>
  <si>
    <t>Table becomes available after reservation deletion</t>
  </si>
  <si>
    <t>Delete reservation linked to reserved table</t>
  </si>
  <si>
    <t>Table status changes back to available</t>
  </si>
  <si>
    <t>A-11</t>
  </si>
  <si>
    <t>View restaurant tables</t>
  </si>
  <si>
    <t>Open Manage Tables</t>
  </si>
  <si>
    <t>Only that restaurant's tables are shown</t>
  </si>
  <si>
    <t>A-12</t>
  </si>
  <si>
    <t>Add new table success</t>
  </si>
  <si>
    <t>Add a table with unique table number</t>
  </si>
  <si>
    <t>Table is created successfully</t>
  </si>
  <si>
    <t>A-13</t>
  </si>
  <si>
    <t>Add duplicate table number</t>
  </si>
  <si>
    <t>Add another table with same table number in same restaurant</t>
  </si>
  <si>
    <t>A-14</t>
  </si>
  <si>
    <t>Edit table success</t>
  </si>
  <si>
    <t>Edit table details and save</t>
  </si>
  <si>
    <t>Updated table data is shown</t>
  </si>
  <si>
    <t>A-15</t>
  </si>
  <si>
    <t>Edit table to duplicate number</t>
  </si>
  <si>
    <t>Change table number to one already existing in same restaurant</t>
  </si>
  <si>
    <t>A-16</t>
  </si>
  <si>
    <t>Delete table</t>
  </si>
  <si>
    <t>Delete an existing table</t>
  </si>
  <si>
    <t>Table is removed successfully</t>
  </si>
  <si>
    <t>A-17</t>
  </si>
  <si>
    <t>Booked table changes to reserved</t>
  </si>
  <si>
    <t>Customer books available table</t>
  </si>
  <si>
    <t>Admin table view updates table status to Reserved</t>
  </si>
  <si>
    <t>A-18</t>
  </si>
  <si>
    <t>Admin logout</t>
  </si>
  <si>
    <t>Click logout</t>
  </si>
  <si>
    <t>Admin session is cleared and redirected to admin login</t>
  </si>
  <si>
    <t>Integration Test Cases</t>
  </si>
  <si>
    <t>Cross-flow behavior between customer and admin sides.</t>
  </si>
  <si>
    <t>I-01</t>
  </si>
  <si>
    <t>Customer booking reflected in admin dashboard</t>
  </si>
  <si>
    <t>Customer books table, admin checks dashboard</t>
  </si>
  <si>
    <t>Reservation appears correctly</t>
  </si>
  <si>
    <t>I-02</t>
  </si>
  <si>
    <t>Customer booking reflected in table status</t>
  </si>
  <si>
    <t>Customer books table, admin checks manage tables</t>
  </si>
  <si>
    <t>Table status changes to Reserved</t>
  </si>
  <si>
    <t>I-03</t>
  </si>
  <si>
    <t>Deleted reservation releases table</t>
  </si>
  <si>
    <t>Admin deletes reservation</t>
  </si>
  <si>
    <t>Related table becomes Available again</t>
  </si>
  <si>
    <t>I-04</t>
  </si>
  <si>
    <t>Restaurant separation</t>
  </si>
  <si>
    <t>Login as different admins</t>
  </si>
  <si>
    <t>Each admin sees only their own restaurant data</t>
  </si>
  <si>
    <t>I-05</t>
  </si>
  <si>
    <t>Page stability</t>
  </si>
  <si>
    <t>Navigate through user and admin pages</t>
  </si>
  <si>
    <t>No crashes or blank screens</t>
  </si>
  <si>
    <t>I-06</t>
  </si>
  <si>
    <t>Validation messages</t>
  </si>
  <si>
    <t>Trigger invalid form cases</t>
  </si>
  <si>
    <t>Clear error messages are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</si>
</sst>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rlito"/>
    </font>
    <font>
      <b/>
      <sz val="16"/>
      <color rgb="FFFFFFFF"/>
      <name val="Carlito"/>
    </font>
    <font>
      <i/>
      <sz val="11"/>
      <color rgb="FF475569"/>
      <name val="Carlito"/>
    </font>
    <font>
      <b/>
      <sz val="11"/>
      <color rgb="FFFFFFFF"/>
      <name val="Carlito"/>
    </font>
    <font>
      <b/>
      <sz val="11"/>
      <color rgb="FF0F172A"/>
      <name val="Carlito"/>
    </font>
    <font>
      <sz val="11"/>
      <color rgb="FF0F172A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F8FAFC"/>
      </patternFill>
    </fill>
    <fill>
      <patternFill patternType="solid">
        <fgColor rgb="FFF4EBD0"/>
      </patternFill>
    </fill>
    <fill>
      <patternFill patternType="solid">
        <fgColor rgb="FF2A9D8F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4" xfId="0" applyNumberFormat="1" applyFont="1" applyFill="1" applyBorder="1" applyAlignment="1">
      <alignment vertical="top" wrapText="1"/>
    </xf>
    <xf numFmtId="0" fontId="5" fillId="0" borderId="5" xfId="0" applyNumberFormat="1" applyFont="1" applyFill="1" applyBorder="1" applyAlignment="1">
      <alignment vertical="top" wrapText="1"/>
    </xf>
    <xf numFmtId="0" fontId="5" fillId="0" borderId="6" xfId="0" applyNumberFormat="1" applyFont="1" applyFill="1" applyBorder="1" applyAlignment="1">
      <alignment vertical="top" wrapText="1"/>
    </xf>
    <xf numFmtId="0" fontId="5" fillId="0" borderId="7" xfId="0" applyNumberFormat="1" applyFont="1" applyFill="1" applyBorder="1" applyAlignment="1">
      <alignment vertical="top" wrapText="1"/>
    </xf>
    <xf numFmtId="0" fontId="5" fillId="0" borderId="8" xfId="0" applyNumberFormat="1" applyFont="1" applyFill="1" applyBorder="1" applyAlignment="1">
      <alignment vertical="top" wrapText="1"/>
    </xf>
    <xf numFmtId="0" fontId="4" fillId="4" borderId="3" xfId="0" applyNumberFormat="1" applyFont="1" applyFill="1" applyBorder="1" applyAlignment="1">
      <alignment horizontal="center" vertical="top" wrapText="1"/>
    </xf>
    <xf numFmtId="0" fontId="5" fillId="0" borderId="1" xfId="0" applyNumberFormat="1" applyFont="1" applyFill="1" applyBorder="1" applyAlignment="1">
      <alignment vertical="top" wrapText="1"/>
    </xf>
    <xf numFmtId="0" fontId="5" fillId="0" borderId="2" xfId="0" applyNumberFormat="1" applyFont="1" applyFill="1" applyBorder="1" applyAlignment="1">
      <alignment vertical="top" wrapText="1"/>
    </xf>
    <xf numFmtId="0" fontId="5" fillId="0" borderId="3" xfId="0" applyNumberFormat="1" applyFont="1" applyFill="1" applyBorder="1" applyAlignment="1">
      <alignment vertical="top" wrapText="1"/>
    </xf>
    <xf numFmtId="0" fontId="5" fillId="0" borderId="1" xfId="0" applyNumberFormat="1" applyFont="1" applyFill="1" applyBorder="1" applyAlignment="1">
      <alignment horizontal="center" vertical="top" wrapText="1"/>
    </xf>
    <xf numFmtId="0" fontId="5" fillId="0" borderId="4" xfId="0" applyNumberFormat="1" applyFont="1" applyFill="1" applyBorder="1" applyAlignment="1">
      <alignment horizontal="center" vertical="top" wrapText="1"/>
    </xf>
    <xf numFmtId="0" fontId="5" fillId="0" borderId="6" xfId="0" applyNumberFormat="1" applyFont="1" applyFill="1" applyBorder="1" applyAlignment="1">
      <alignment horizontal="center" vertical="top" wrapText="1"/>
    </xf>
    <xf numFmtId="0" fontId="5" fillId="0" borderId="2" xfId="0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7" xfId="0" applyNumberFormat="1" applyFont="1" applyFill="1" applyBorder="1" applyAlignment="1">
      <alignment horizontal="center" vertical="top" wrapText="1"/>
    </xf>
    <xf numFmtId="0" fontId="1" fillId="2" borderId="0" xfId="0" applyNumberFormat="1" applyFont="1" applyFill="1" applyBorder="1" applyAlignment="1">
      <alignment horizontal="left" vertical="center"/>
    </xf>
    <xf numFmtId="0" fontId="0" fillId="0" borderId="0" xfId="0"/>
    <xf numFmtId="0" fontId="2" fillId="3" borderId="0" xfId="0" applyNumberFormat="1" applyFont="1" applyFill="1" applyBorder="1" applyAlignment="1">
      <alignment horizontal="left" vertical="center"/>
    </xf>
    <xf numFmtId="0" fontId="3" fillId="5" borderId="0" xfId="0" applyNumberFormat="1" applyFont="1" applyFill="1" applyBorder="1" applyAlignment="1">
      <alignment horizontal="left" vertical="center"/>
    </xf>
    <xf numFmtId="0" fontId="4" fillId="4" borderId="9" xfId="0" applyNumberFormat="1" applyFont="1" applyFill="1" applyBorder="1" applyAlignment="1">
      <alignment horizontal="center" vertical="top" wrapText="1"/>
    </xf>
    <xf numFmtId="0" fontId="4" fillId="4" borderId="10" xfId="0" applyNumberFormat="1" applyFont="1" applyFill="1" applyBorder="1" applyAlignment="1">
      <alignment horizontal="center" vertical="top" wrapText="1"/>
    </xf>
    <xf numFmtId="0" fontId="5" fillId="0" borderId="11" xfId="0" applyNumberFormat="1" applyFont="1" applyFill="1" applyBorder="1" applyAlignment="1">
      <alignment vertical="top" wrapText="1"/>
    </xf>
    <xf numFmtId="0" fontId="5" fillId="0" borderId="12" xfId="0" applyNumberFormat="1" applyFont="1" applyFill="1" applyBorder="1" applyAlignment="1">
      <alignment vertical="top" wrapText="1"/>
    </xf>
    <xf numFmtId="0" fontId="5" fillId="0" borderId="13" xfId="0" applyNumberFormat="1" applyFont="1" applyFill="1" applyBorder="1" applyAlignment="1">
      <alignment vertical="top" wrapText="1"/>
    </xf>
    <xf numFmtId="0" fontId="5" fillId="0" borderId="14" xfId="0" applyNumberFormat="1" applyFont="1" applyFill="1" applyBorder="1" applyAlignment="1">
      <alignment vertical="top" wrapText="1"/>
    </xf>
    <xf numFmtId="0" fontId="4" fillId="6" borderId="1" xfId="0" applyNumberFormat="1" applyFont="1" applyFill="1" applyBorder="1" applyAlignment="1">
      <alignment horizontal="center" vertical="top" wrapText="1"/>
    </xf>
    <xf numFmtId="0" fontId="4" fillId="6" borderId="2" xfId="0" applyNumberFormat="1" applyFont="1" applyFill="1" applyBorder="1" applyAlignment="1">
      <alignment horizontal="center" vertical="top" wrapText="1"/>
    </xf>
    <xf numFmtId="0" fontId="4" fillId="6" borderId="3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16">
    <dxf>
      <fill>
        <patternFill patternType="solid">
          <bgColor rgb="FFE2E8F0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2E8F0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2E8F0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2E8F0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UserFlowTestCasesTable" displayName="UserFlowTestCasesTable" ref="A4:H21">
  <tableColumns count="8">
    <tableColumn id="1" name="TC ID"/>
    <tableColumn id="2" name="Test Case"/>
    <tableColumn id="3" name="Steps"/>
    <tableColumn id="4" name="Expected Result"/>
    <tableColumn id="5" name="Priority"/>
    <tableColumn id="6" name="Status"/>
    <tableColumn id="7" name="Actual Result"/>
    <tableColumn id="8" name="Com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dminFlowTestCasesTable" displayName="AdminFlowTestCasesTable" ref="A4:H22">
  <tableColumns count="8">
    <tableColumn id="1" name="TC ID"/>
    <tableColumn id="2" name="Test Case"/>
    <tableColumn id="3" name="Steps"/>
    <tableColumn id="4" name="Expected Result"/>
    <tableColumn id="5" name="Priority"/>
    <tableColumn id="6" name="Status"/>
    <tableColumn id="7" name="Actual Result"/>
    <tableColumn id="8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tegrationTestCasesTable" displayName="IntegrationTestCasesTable" ref="A4:H10">
  <tableColumns count="8">
    <tableColumn id="1" name="TC ID"/>
    <tableColumn id="2" name="Test Case"/>
    <tableColumn id="3" name="Steps"/>
    <tableColumn id="4" name="Expected Result"/>
    <tableColumn id="5" name="Priority"/>
    <tableColumn id="6" name="Status"/>
    <tableColumn id="7" name="Actual Result"/>
    <tableColumn id="8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showGridLines="0" tabSelected="1" zoomScale="97" zoomScaleNormal="55" workbookViewId="0">
      <selection activeCell="B19" sqref="B19"/>
    </sheetView>
  </sheetViews>
  <sheetFormatPr defaultRowHeight="13.8"/>
  <cols>
    <col min="1" max="1" width="12.09765625" customWidth="1"/>
    <col min="2" max="2" width="30.69921875" customWidth="1"/>
    <col min="3" max="3" width="45" customWidth="1"/>
    <col min="4" max="4" width="42.09765625" customWidth="1"/>
    <col min="5" max="5" width="12.09765625" customWidth="1"/>
    <col min="6" max="6" width="12.8984375" customWidth="1"/>
    <col min="7" max="8" width="30.69921875" customWidth="1"/>
  </cols>
  <sheetData>
    <row r="1" spans="1:8" ht="18" customHeight="1">
      <c r="A1" s="18" t="s">
        <v>0</v>
      </c>
      <c r="B1" s="19"/>
      <c r="C1" s="19"/>
      <c r="D1" s="19"/>
      <c r="E1" s="19"/>
      <c r="F1" s="19"/>
      <c r="G1" s="19"/>
      <c r="H1" s="19"/>
    </row>
    <row r="2" spans="1:8" ht="14.4">
      <c r="A2" s="20" t="s">
        <v>1</v>
      </c>
      <c r="B2" s="19"/>
      <c r="C2" s="19"/>
      <c r="D2" s="19"/>
      <c r="E2" s="19"/>
      <c r="F2" s="19"/>
      <c r="G2" s="19"/>
      <c r="H2" s="19"/>
    </row>
    <row r="3" spans="1:8" ht="14.4" thickBot="1"/>
    <row r="4" spans="1:8" ht="27.6">
      <c r="A4" s="28" t="s">
        <v>2</v>
      </c>
      <c r="B4" s="29" t="s">
        <v>3</v>
      </c>
      <c r="C4" s="29" t="s">
        <v>4</v>
      </c>
      <c r="D4" s="30" t="s">
        <v>5</v>
      </c>
      <c r="F4" s="22" t="s">
        <v>6</v>
      </c>
      <c r="G4" s="23" t="s">
        <v>7</v>
      </c>
      <c r="H4" s="8" t="s">
        <v>8</v>
      </c>
    </row>
    <row r="5" spans="1:8" ht="27.6">
      <c r="A5" s="3" t="s">
        <v>9</v>
      </c>
      <c r="B5" s="2" t="s">
        <v>10</v>
      </c>
      <c r="C5" s="2" t="str">
        <f>COUNTIF('User Flow'!F5:F21,"Pass")&amp;"/"&amp;COUNTA('User Flow'!A5:A21)</f>
        <v>3/17</v>
      </c>
      <c r="D5" s="4"/>
      <c r="F5" s="24" t="s">
        <v>11</v>
      </c>
      <c r="G5" s="25" t="s">
        <v>12</v>
      </c>
      <c r="H5" s="4" t="s">
        <v>13</v>
      </c>
    </row>
    <row r="6" spans="1:8" ht="27.6">
      <c r="A6" s="3" t="s">
        <v>14</v>
      </c>
      <c r="B6" s="2" t="s">
        <v>10</v>
      </c>
      <c r="C6" s="2" t="str">
        <f>COUNTIF('Admin Flow'!F5:F22,"Pass")&amp;"/"&amp;COUNTA('Admin Flow'!A5:A22)</f>
        <v>0/18</v>
      </c>
      <c r="D6" s="4"/>
      <c r="F6" s="24" t="s">
        <v>15</v>
      </c>
      <c r="G6" s="25" t="s">
        <v>12</v>
      </c>
      <c r="H6" s="4" t="s">
        <v>16</v>
      </c>
    </row>
    <row r="7" spans="1:8" ht="41.4">
      <c r="A7" s="5" t="s">
        <v>17</v>
      </c>
      <c r="B7" s="6" t="s">
        <v>18</v>
      </c>
      <c r="C7" s="6" t="str">
        <f>COUNTIF(Integration!F5:F10,"Pass")&amp;"/"&amp;COUNTA(Integration!A5:A10)</f>
        <v>3/6</v>
      </c>
      <c r="D7" s="7"/>
      <c r="F7" s="24" t="s">
        <v>19</v>
      </c>
      <c r="G7" s="25" t="s">
        <v>12</v>
      </c>
      <c r="H7" s="4" t="s">
        <v>20</v>
      </c>
    </row>
    <row r="8" spans="1:8" ht="42" thickBot="1">
      <c r="F8" s="26" t="s">
        <v>21</v>
      </c>
      <c r="G8" s="27" t="s">
        <v>12</v>
      </c>
      <c r="H8" s="7" t="s">
        <v>22</v>
      </c>
    </row>
    <row r="10" spans="1:8">
      <c r="A10" s="21" t="s">
        <v>23</v>
      </c>
      <c r="B10" s="19"/>
      <c r="C10" s="19"/>
      <c r="D10" s="19"/>
      <c r="F10" s="21" t="s">
        <v>24</v>
      </c>
      <c r="G10" s="19"/>
      <c r="H10" s="19"/>
    </row>
    <row r="11" spans="1:8" ht="27.6">
      <c r="A11" s="9" t="s">
        <v>25</v>
      </c>
      <c r="B11" s="10" t="s">
        <v>26</v>
      </c>
      <c r="C11" s="10"/>
      <c r="D11" s="11"/>
      <c r="F11" s="9" t="s">
        <v>27</v>
      </c>
      <c r="G11" s="10" t="s">
        <v>28</v>
      </c>
      <c r="H11" s="11"/>
    </row>
    <row r="12" spans="1:8" ht="27.6">
      <c r="A12" s="3" t="s">
        <v>29</v>
      </c>
      <c r="B12" s="2" t="s">
        <v>30</v>
      </c>
      <c r="C12" s="2"/>
      <c r="D12" s="4"/>
      <c r="F12" s="3" t="s">
        <v>31</v>
      </c>
      <c r="G12" s="2" t="s">
        <v>32</v>
      </c>
      <c r="H12" s="4"/>
    </row>
    <row r="13" spans="1:8" ht="27.6">
      <c r="A13" s="3" t="s">
        <v>33</v>
      </c>
      <c r="B13" s="2" t="s">
        <v>34</v>
      </c>
      <c r="C13" s="2"/>
      <c r="D13" s="4"/>
      <c r="F13" s="3" t="s">
        <v>35</v>
      </c>
      <c r="G13" s="2" t="s">
        <v>36</v>
      </c>
      <c r="H13" s="4"/>
    </row>
    <row r="14" spans="1:8" ht="27.6">
      <c r="A14" s="3" t="s">
        <v>37</v>
      </c>
      <c r="B14" s="2" t="s">
        <v>38</v>
      </c>
      <c r="C14" s="2"/>
      <c r="D14" s="4"/>
      <c r="F14" s="5" t="s">
        <v>39</v>
      </c>
      <c r="G14" s="6" t="s">
        <v>40</v>
      </c>
      <c r="H14" s="7"/>
    </row>
    <row r="15" spans="1:8" ht="27.6">
      <c r="A15" s="5" t="s">
        <v>41</v>
      </c>
      <c r="B15" s="6" t="s">
        <v>42</v>
      </c>
      <c r="C15" s="6"/>
      <c r="D15" s="7"/>
    </row>
  </sheetData>
  <mergeCells count="4">
    <mergeCell ref="A1:H1"/>
    <mergeCell ref="A2:H2"/>
    <mergeCell ref="F10:H10"/>
    <mergeCell ref="A10:D10"/>
  </mergeCells>
  <conditionalFormatting sqref="F11:F14">
    <cfRule type="expression" dxfId="15" priority="1">
      <formula>F11="Pass"</formula>
    </cfRule>
    <cfRule type="expression" dxfId="14" priority="2">
      <formula>F11="Fail"</formula>
    </cfRule>
    <cfRule type="expression" dxfId="13" priority="3">
      <formula>F11="Blocked"</formula>
    </cfRule>
    <cfRule type="expression" dxfId="12" priority="4">
      <formula>F11="Not Run"</formula>
    </cfRule>
  </conditionalFormatting>
  <dataValidations count="1">
    <dataValidation type="list" sqref="F11:F14">
      <formula1>"Not Run,Pass,Fail,Blocked"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showGridLines="0" workbookViewId="0">
      <selection activeCell="D24" sqref="D24"/>
    </sheetView>
  </sheetViews>
  <sheetFormatPr defaultRowHeight="13.8"/>
  <cols>
    <col min="1" max="1" width="12.09765625" customWidth="1"/>
    <col min="2" max="2" width="30.69921875" customWidth="1"/>
    <col min="3" max="3" width="45" customWidth="1"/>
    <col min="4" max="4" width="42.09765625" customWidth="1"/>
    <col min="5" max="5" width="12.09765625" customWidth="1"/>
    <col min="6" max="6" width="12.8984375" customWidth="1"/>
    <col min="7" max="8" width="30.69921875" customWidth="1"/>
  </cols>
  <sheetData>
    <row r="1" spans="1:8" ht="24" customHeight="1">
      <c r="A1" s="18" t="s">
        <v>43</v>
      </c>
      <c r="B1" s="19"/>
      <c r="C1" s="19"/>
      <c r="D1" s="19"/>
      <c r="E1" s="19"/>
      <c r="F1" s="19"/>
      <c r="G1" s="19"/>
      <c r="H1" s="19"/>
    </row>
    <row r="2" spans="1:8" ht="14.4">
      <c r="A2" s="20" t="s">
        <v>44</v>
      </c>
      <c r="B2" s="19"/>
      <c r="C2" s="19"/>
      <c r="D2" s="19"/>
      <c r="E2" s="19"/>
      <c r="F2" s="19"/>
      <c r="G2" s="19"/>
      <c r="H2" s="19"/>
    </row>
    <row r="4" spans="1:8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</row>
    <row r="5" spans="1:8">
      <c r="A5" s="12" t="s">
        <v>53</v>
      </c>
      <c r="B5" s="10" t="s">
        <v>54</v>
      </c>
      <c r="C5" s="10" t="s">
        <v>55</v>
      </c>
      <c r="D5" s="10" t="s">
        <v>56</v>
      </c>
      <c r="E5" s="15" t="s">
        <v>57</v>
      </c>
      <c r="F5" s="15" t="s">
        <v>31</v>
      </c>
      <c r="G5" s="10"/>
      <c r="H5" s="11"/>
    </row>
    <row r="6" spans="1:8" ht="27.6">
      <c r="A6" s="13" t="s">
        <v>58</v>
      </c>
      <c r="B6" s="2" t="s">
        <v>59</v>
      </c>
      <c r="C6" s="2" t="s">
        <v>60</v>
      </c>
      <c r="D6" s="2" t="s">
        <v>61</v>
      </c>
      <c r="E6" s="16" t="s">
        <v>57</v>
      </c>
      <c r="F6" s="16" t="s">
        <v>31</v>
      </c>
      <c r="G6" s="2"/>
      <c r="H6" s="4"/>
    </row>
    <row r="7" spans="1:8">
      <c r="A7" s="13" t="s">
        <v>62</v>
      </c>
      <c r="B7" s="2" t="s">
        <v>63</v>
      </c>
      <c r="C7" s="2" t="s">
        <v>64</v>
      </c>
      <c r="D7" s="2" t="s">
        <v>65</v>
      </c>
      <c r="E7" s="16" t="s">
        <v>66</v>
      </c>
      <c r="F7" s="16" t="s">
        <v>31</v>
      </c>
      <c r="G7" s="2"/>
      <c r="H7" s="4"/>
    </row>
    <row r="8" spans="1:8">
      <c r="A8" s="13" t="s">
        <v>67</v>
      </c>
      <c r="B8" s="2" t="s">
        <v>68</v>
      </c>
      <c r="C8" s="2" t="s">
        <v>69</v>
      </c>
      <c r="D8" s="2" t="s">
        <v>65</v>
      </c>
      <c r="E8" s="16" t="s">
        <v>66</v>
      </c>
      <c r="F8" s="16" t="s">
        <v>35</v>
      </c>
      <c r="G8" s="2"/>
      <c r="H8" s="4"/>
    </row>
    <row r="9" spans="1:8" ht="27.6">
      <c r="A9" s="13" t="s">
        <v>70</v>
      </c>
      <c r="B9" s="2" t="s">
        <v>71</v>
      </c>
      <c r="C9" s="2" t="s">
        <v>72</v>
      </c>
      <c r="D9" s="2" t="s">
        <v>65</v>
      </c>
      <c r="E9" s="16" t="s">
        <v>66</v>
      </c>
      <c r="F9" s="16" t="s">
        <v>27</v>
      </c>
      <c r="G9" s="2"/>
      <c r="H9" s="4"/>
    </row>
    <row r="10" spans="1:8">
      <c r="A10" s="13" t="s">
        <v>73</v>
      </c>
      <c r="B10" s="2" t="s">
        <v>74</v>
      </c>
      <c r="C10" s="2" t="s">
        <v>75</v>
      </c>
      <c r="D10" s="2" t="s">
        <v>76</v>
      </c>
      <c r="E10" s="16" t="s">
        <v>57</v>
      </c>
      <c r="F10" s="16" t="s">
        <v>27</v>
      </c>
      <c r="G10" s="2"/>
      <c r="H10" s="4"/>
    </row>
    <row r="11" spans="1:8">
      <c r="A11" s="13" t="s">
        <v>77</v>
      </c>
      <c r="B11" s="2" t="s">
        <v>78</v>
      </c>
      <c r="C11" s="2" t="s">
        <v>79</v>
      </c>
      <c r="D11" s="2" t="s">
        <v>80</v>
      </c>
      <c r="E11" s="16" t="s">
        <v>57</v>
      </c>
      <c r="F11" s="16" t="s">
        <v>27</v>
      </c>
      <c r="G11" s="2"/>
      <c r="H11" s="4"/>
    </row>
    <row r="12" spans="1:8" ht="27.6">
      <c r="A12" s="13" t="s">
        <v>81</v>
      </c>
      <c r="B12" s="2" t="s">
        <v>82</v>
      </c>
      <c r="C12" s="2" t="s">
        <v>83</v>
      </c>
      <c r="D12" s="2" t="s">
        <v>84</v>
      </c>
      <c r="E12" s="16" t="s">
        <v>57</v>
      </c>
      <c r="F12" s="16" t="s">
        <v>27</v>
      </c>
      <c r="G12" s="2"/>
      <c r="H12" s="4"/>
    </row>
    <row r="13" spans="1:8">
      <c r="A13" s="13" t="s">
        <v>85</v>
      </c>
      <c r="B13" s="2" t="s">
        <v>86</v>
      </c>
      <c r="C13" s="2" t="s">
        <v>87</v>
      </c>
      <c r="D13" s="2" t="s">
        <v>88</v>
      </c>
      <c r="E13" s="16" t="s">
        <v>66</v>
      </c>
      <c r="F13" s="16" t="s">
        <v>27</v>
      </c>
      <c r="G13" s="2"/>
      <c r="H13" s="4"/>
    </row>
    <row r="14" spans="1:8" ht="27.6">
      <c r="A14" s="13" t="s">
        <v>89</v>
      </c>
      <c r="B14" s="2" t="s">
        <v>90</v>
      </c>
      <c r="C14" s="2" t="s">
        <v>91</v>
      </c>
      <c r="D14" s="2" t="s">
        <v>92</v>
      </c>
      <c r="E14" s="16" t="s">
        <v>57</v>
      </c>
      <c r="F14" s="16" t="s">
        <v>27</v>
      </c>
      <c r="G14" s="2"/>
      <c r="H14" s="4"/>
    </row>
    <row r="15" spans="1:8">
      <c r="A15" s="13" t="s">
        <v>93</v>
      </c>
      <c r="B15" s="2" t="s">
        <v>94</v>
      </c>
      <c r="C15" s="2" t="s">
        <v>95</v>
      </c>
      <c r="D15" s="2" t="s">
        <v>96</v>
      </c>
      <c r="E15" s="16" t="s">
        <v>57</v>
      </c>
      <c r="F15" s="16" t="s">
        <v>27</v>
      </c>
      <c r="G15" s="2"/>
      <c r="H15" s="4"/>
    </row>
    <row r="16" spans="1:8" ht="27.6">
      <c r="A16" s="13" t="s">
        <v>97</v>
      </c>
      <c r="B16" s="2" t="s">
        <v>98</v>
      </c>
      <c r="C16" s="2" t="s">
        <v>99</v>
      </c>
      <c r="D16" s="2" t="s">
        <v>100</v>
      </c>
      <c r="E16" s="16" t="s">
        <v>57</v>
      </c>
      <c r="F16" s="16" t="s">
        <v>27</v>
      </c>
      <c r="G16" s="2"/>
      <c r="H16" s="4"/>
    </row>
    <row r="17" spans="1:8">
      <c r="A17" s="13" t="s">
        <v>101</v>
      </c>
      <c r="B17" s="2" t="s">
        <v>102</v>
      </c>
      <c r="C17" s="2" t="s">
        <v>103</v>
      </c>
      <c r="D17" s="2" t="s">
        <v>100</v>
      </c>
      <c r="E17" s="16" t="s">
        <v>57</v>
      </c>
      <c r="F17" s="16" t="s">
        <v>27</v>
      </c>
      <c r="G17" s="2"/>
      <c r="H17" s="4"/>
    </row>
    <row r="18" spans="1:8">
      <c r="A18" s="13" t="s">
        <v>104</v>
      </c>
      <c r="B18" s="2" t="s">
        <v>105</v>
      </c>
      <c r="C18" s="2" t="s">
        <v>106</v>
      </c>
      <c r="D18" s="2" t="s">
        <v>107</v>
      </c>
      <c r="E18" s="16" t="s">
        <v>57</v>
      </c>
      <c r="F18" s="16" t="s">
        <v>27</v>
      </c>
      <c r="G18" s="2"/>
      <c r="H18" s="4"/>
    </row>
    <row r="19" spans="1:8" ht="27.6">
      <c r="A19" s="13" t="s">
        <v>108</v>
      </c>
      <c r="B19" s="2" t="s">
        <v>109</v>
      </c>
      <c r="C19" s="2" t="s">
        <v>110</v>
      </c>
      <c r="D19" s="2" t="s">
        <v>111</v>
      </c>
      <c r="E19" s="16" t="s">
        <v>66</v>
      </c>
      <c r="F19" s="16" t="s">
        <v>27</v>
      </c>
      <c r="G19" s="2"/>
      <c r="H19" s="4"/>
    </row>
    <row r="20" spans="1:8">
      <c r="A20" s="13" t="s">
        <v>112</v>
      </c>
      <c r="B20" s="2" t="s">
        <v>113</v>
      </c>
      <c r="C20" s="2" t="s">
        <v>114</v>
      </c>
      <c r="D20" s="2" t="s">
        <v>115</v>
      </c>
      <c r="E20" s="16" t="s">
        <v>57</v>
      </c>
      <c r="F20" s="16" t="s">
        <v>27</v>
      </c>
      <c r="G20" s="2"/>
      <c r="H20" s="4"/>
    </row>
    <row r="21" spans="1:8">
      <c r="A21" s="14" t="s">
        <v>116</v>
      </c>
      <c r="B21" s="6" t="s">
        <v>117</v>
      </c>
      <c r="C21" s="6" t="s">
        <v>118</v>
      </c>
      <c r="D21" s="6" t="s">
        <v>119</v>
      </c>
      <c r="E21" s="17" t="s">
        <v>66</v>
      </c>
      <c r="F21" s="17" t="s">
        <v>27</v>
      </c>
      <c r="G21" s="6"/>
      <c r="H21" s="7"/>
    </row>
  </sheetData>
  <mergeCells count="2">
    <mergeCell ref="A1:H1"/>
    <mergeCell ref="A2:H2"/>
  </mergeCells>
  <conditionalFormatting sqref="F5:F21">
    <cfRule type="expression" dxfId="11" priority="1">
      <formula>F5="Pass"</formula>
    </cfRule>
    <cfRule type="expression" dxfId="10" priority="2">
      <formula>F5="Fail"</formula>
    </cfRule>
    <cfRule type="expression" dxfId="9" priority="3">
      <formula>F5="Blocked"</formula>
    </cfRule>
    <cfRule type="expression" dxfId="8" priority="4">
      <formula>F5="Not Run"</formula>
    </cfRule>
  </conditionalFormatting>
  <dataValidations count="2">
    <dataValidation type="list" sqref="E5:E21">
      <formula1>"High,Medium,Low"</formula1>
    </dataValidation>
    <dataValidation type="list" sqref="F5:F21">
      <formula1>"Not Run,Pass,Fail,Blocked"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showGridLines="0" workbookViewId="0">
      <selection sqref="A1:H1"/>
    </sheetView>
  </sheetViews>
  <sheetFormatPr defaultRowHeight="13.8"/>
  <cols>
    <col min="1" max="1" width="12.09765625" customWidth="1"/>
    <col min="2" max="2" width="30.69921875" customWidth="1"/>
    <col min="3" max="3" width="45" customWidth="1"/>
    <col min="4" max="4" width="42.09765625" customWidth="1"/>
    <col min="5" max="5" width="12.09765625" customWidth="1"/>
    <col min="6" max="6" width="12.8984375" customWidth="1"/>
    <col min="7" max="8" width="30.69921875" customWidth="1"/>
  </cols>
  <sheetData>
    <row r="1" spans="1:8" ht="24" customHeight="1">
      <c r="A1" s="18" t="s">
        <v>120</v>
      </c>
      <c r="B1" s="19"/>
      <c r="C1" s="19"/>
      <c r="D1" s="19"/>
      <c r="E1" s="19"/>
      <c r="F1" s="19"/>
      <c r="G1" s="19"/>
      <c r="H1" s="19"/>
    </row>
    <row r="2" spans="1:8" ht="14.4">
      <c r="A2" s="20" t="s">
        <v>121</v>
      </c>
      <c r="B2" s="19"/>
      <c r="C2" s="19"/>
      <c r="D2" s="19"/>
      <c r="E2" s="19"/>
      <c r="F2" s="19"/>
      <c r="G2" s="19"/>
      <c r="H2" s="19"/>
    </row>
    <row r="4" spans="1:8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</row>
    <row r="5" spans="1:8" ht="27.6">
      <c r="A5" s="12" t="s">
        <v>122</v>
      </c>
      <c r="B5" s="10" t="s">
        <v>123</v>
      </c>
      <c r="C5" s="10" t="s">
        <v>124</v>
      </c>
      <c r="D5" s="10" t="s">
        <v>125</v>
      </c>
      <c r="E5" s="15" t="s">
        <v>57</v>
      </c>
      <c r="F5" s="15" t="s">
        <v>27</v>
      </c>
      <c r="G5" s="10"/>
      <c r="H5" s="11"/>
    </row>
    <row r="6" spans="1:8">
      <c r="A6" s="13" t="s">
        <v>126</v>
      </c>
      <c r="B6" s="2" t="s">
        <v>127</v>
      </c>
      <c r="C6" s="2" t="s">
        <v>128</v>
      </c>
      <c r="D6" s="2" t="s">
        <v>80</v>
      </c>
      <c r="E6" s="16" t="s">
        <v>57</v>
      </c>
      <c r="F6" s="16" t="s">
        <v>27</v>
      </c>
      <c r="G6" s="2"/>
      <c r="H6" s="4"/>
    </row>
    <row r="7" spans="1:8">
      <c r="A7" s="13" t="s">
        <v>129</v>
      </c>
      <c r="B7" s="2" t="s">
        <v>130</v>
      </c>
      <c r="C7" s="2" t="s">
        <v>131</v>
      </c>
      <c r="D7" s="2" t="s">
        <v>132</v>
      </c>
      <c r="E7" s="16" t="s">
        <v>57</v>
      </c>
      <c r="F7" s="16" t="s">
        <v>27</v>
      </c>
      <c r="G7" s="2"/>
      <c r="H7" s="4"/>
    </row>
    <row r="8" spans="1:8">
      <c r="A8" s="13" t="s">
        <v>133</v>
      </c>
      <c r="B8" s="2" t="s">
        <v>134</v>
      </c>
      <c r="C8" s="2" t="s">
        <v>135</v>
      </c>
      <c r="D8" s="2" t="s">
        <v>136</v>
      </c>
      <c r="E8" s="16" t="s">
        <v>57</v>
      </c>
      <c r="F8" s="16" t="s">
        <v>27</v>
      </c>
      <c r="G8" s="2"/>
      <c r="H8" s="4"/>
    </row>
    <row r="9" spans="1:8">
      <c r="A9" s="13" t="s">
        <v>137</v>
      </c>
      <c r="B9" s="2" t="s">
        <v>138</v>
      </c>
      <c r="C9" s="2" t="s">
        <v>139</v>
      </c>
      <c r="D9" s="2" t="s">
        <v>140</v>
      </c>
      <c r="E9" s="16" t="s">
        <v>57</v>
      </c>
      <c r="F9" s="16" t="s">
        <v>27</v>
      </c>
      <c r="G9" s="2"/>
      <c r="H9" s="4"/>
    </row>
    <row r="10" spans="1:8">
      <c r="A10" s="13" t="s">
        <v>141</v>
      </c>
      <c r="B10" s="2" t="s">
        <v>142</v>
      </c>
      <c r="C10" s="2" t="s">
        <v>143</v>
      </c>
      <c r="D10" s="2" t="s">
        <v>144</v>
      </c>
      <c r="E10" s="16" t="s">
        <v>57</v>
      </c>
      <c r="F10" s="16" t="s">
        <v>27</v>
      </c>
      <c r="G10" s="2"/>
      <c r="H10" s="4"/>
    </row>
    <row r="11" spans="1:8" ht="27.6">
      <c r="A11" s="13" t="s">
        <v>145</v>
      </c>
      <c r="B11" s="2" t="s">
        <v>146</v>
      </c>
      <c r="C11" s="2" t="s">
        <v>147</v>
      </c>
      <c r="D11" s="2" t="s">
        <v>148</v>
      </c>
      <c r="E11" s="16" t="s">
        <v>57</v>
      </c>
      <c r="F11" s="16" t="s">
        <v>27</v>
      </c>
      <c r="G11" s="2"/>
      <c r="H11" s="4"/>
    </row>
    <row r="12" spans="1:8">
      <c r="A12" s="13" t="s">
        <v>149</v>
      </c>
      <c r="B12" s="2" t="s">
        <v>150</v>
      </c>
      <c r="C12" s="2" t="s">
        <v>151</v>
      </c>
      <c r="D12" s="2" t="s">
        <v>152</v>
      </c>
      <c r="E12" s="16" t="s">
        <v>66</v>
      </c>
      <c r="F12" s="16" t="s">
        <v>27</v>
      </c>
      <c r="G12" s="2"/>
      <c r="H12" s="4"/>
    </row>
    <row r="13" spans="1:8">
      <c r="A13" s="13" t="s">
        <v>153</v>
      </c>
      <c r="B13" s="2" t="s">
        <v>154</v>
      </c>
      <c r="C13" s="2" t="s">
        <v>155</v>
      </c>
      <c r="D13" s="2" t="s">
        <v>156</v>
      </c>
      <c r="E13" s="16" t="s">
        <v>57</v>
      </c>
      <c r="F13" s="16" t="s">
        <v>27</v>
      </c>
      <c r="G13" s="2"/>
      <c r="H13" s="4"/>
    </row>
    <row r="14" spans="1:8" ht="27.6">
      <c r="A14" s="13" t="s">
        <v>157</v>
      </c>
      <c r="B14" s="2" t="s">
        <v>158</v>
      </c>
      <c r="C14" s="2" t="s">
        <v>159</v>
      </c>
      <c r="D14" s="2" t="s">
        <v>160</v>
      </c>
      <c r="E14" s="16" t="s">
        <v>57</v>
      </c>
      <c r="F14" s="16" t="s">
        <v>27</v>
      </c>
      <c r="G14" s="2"/>
      <c r="H14" s="4"/>
    </row>
    <row r="15" spans="1:8">
      <c r="A15" s="13" t="s">
        <v>161</v>
      </c>
      <c r="B15" s="2" t="s">
        <v>162</v>
      </c>
      <c r="C15" s="2" t="s">
        <v>163</v>
      </c>
      <c r="D15" s="2" t="s">
        <v>164</v>
      </c>
      <c r="E15" s="16" t="s">
        <v>57</v>
      </c>
      <c r="F15" s="16" t="s">
        <v>27</v>
      </c>
      <c r="G15" s="2"/>
      <c r="H15" s="4"/>
    </row>
    <row r="16" spans="1:8">
      <c r="A16" s="13" t="s">
        <v>165</v>
      </c>
      <c r="B16" s="2" t="s">
        <v>166</v>
      </c>
      <c r="C16" s="2" t="s">
        <v>167</v>
      </c>
      <c r="D16" s="2" t="s">
        <v>168</v>
      </c>
      <c r="E16" s="16" t="s">
        <v>57</v>
      </c>
      <c r="F16" s="16" t="s">
        <v>27</v>
      </c>
      <c r="G16" s="2"/>
      <c r="H16" s="4"/>
    </row>
    <row r="17" spans="1:8" ht="27.6">
      <c r="A17" s="13" t="s">
        <v>169</v>
      </c>
      <c r="B17" s="2" t="s">
        <v>170</v>
      </c>
      <c r="C17" s="2" t="s">
        <v>171</v>
      </c>
      <c r="D17" s="2" t="s">
        <v>100</v>
      </c>
      <c r="E17" s="16" t="s">
        <v>57</v>
      </c>
      <c r="F17" s="16" t="s">
        <v>27</v>
      </c>
      <c r="G17" s="2"/>
      <c r="H17" s="4"/>
    </row>
    <row r="18" spans="1:8">
      <c r="A18" s="13" t="s">
        <v>172</v>
      </c>
      <c r="B18" s="2" t="s">
        <v>173</v>
      </c>
      <c r="C18" s="2" t="s">
        <v>174</v>
      </c>
      <c r="D18" s="2" t="s">
        <v>175</v>
      </c>
      <c r="E18" s="16" t="s">
        <v>66</v>
      </c>
      <c r="F18" s="16" t="s">
        <v>27</v>
      </c>
      <c r="G18" s="2"/>
      <c r="H18" s="4"/>
    </row>
    <row r="19" spans="1:8" ht="27.6">
      <c r="A19" s="13" t="s">
        <v>176</v>
      </c>
      <c r="B19" s="2" t="s">
        <v>177</v>
      </c>
      <c r="C19" s="2" t="s">
        <v>178</v>
      </c>
      <c r="D19" s="2" t="s">
        <v>100</v>
      </c>
      <c r="E19" s="16" t="s">
        <v>57</v>
      </c>
      <c r="F19" s="16" t="s">
        <v>27</v>
      </c>
      <c r="G19" s="2"/>
      <c r="H19" s="4"/>
    </row>
    <row r="20" spans="1:8">
      <c r="A20" s="13" t="s">
        <v>179</v>
      </c>
      <c r="B20" s="2" t="s">
        <v>180</v>
      </c>
      <c r="C20" s="2" t="s">
        <v>181</v>
      </c>
      <c r="D20" s="2" t="s">
        <v>182</v>
      </c>
      <c r="E20" s="16" t="s">
        <v>66</v>
      </c>
      <c r="F20" s="16" t="s">
        <v>27</v>
      </c>
      <c r="G20" s="2"/>
      <c r="H20" s="4"/>
    </row>
    <row r="21" spans="1:8">
      <c r="A21" s="13" t="s">
        <v>183</v>
      </c>
      <c r="B21" s="2" t="s">
        <v>184</v>
      </c>
      <c r="C21" s="2" t="s">
        <v>185</v>
      </c>
      <c r="D21" s="2" t="s">
        <v>186</v>
      </c>
      <c r="E21" s="16" t="s">
        <v>57</v>
      </c>
      <c r="F21" s="16" t="s">
        <v>27</v>
      </c>
      <c r="G21" s="2"/>
      <c r="H21" s="4"/>
    </row>
    <row r="22" spans="1:8" ht="27.6">
      <c r="A22" s="14" t="s">
        <v>187</v>
      </c>
      <c r="B22" s="6" t="s">
        <v>188</v>
      </c>
      <c r="C22" s="6" t="s">
        <v>189</v>
      </c>
      <c r="D22" s="6" t="s">
        <v>190</v>
      </c>
      <c r="E22" s="17" t="s">
        <v>66</v>
      </c>
      <c r="F22" s="17" t="s">
        <v>27</v>
      </c>
      <c r="G22" s="6"/>
      <c r="H22" s="7"/>
    </row>
  </sheetData>
  <mergeCells count="2">
    <mergeCell ref="A1:H1"/>
    <mergeCell ref="A2:H2"/>
  </mergeCells>
  <conditionalFormatting sqref="F5:F22">
    <cfRule type="expression" dxfId="7" priority="1">
      <formula>F5="Pass"</formula>
    </cfRule>
    <cfRule type="expression" dxfId="6" priority="2">
      <formula>F5="Fail"</formula>
    </cfRule>
    <cfRule type="expression" dxfId="5" priority="3">
      <formula>F5="Blocked"</formula>
    </cfRule>
    <cfRule type="expression" dxfId="4" priority="4">
      <formula>F5="Not Run"</formula>
    </cfRule>
  </conditionalFormatting>
  <dataValidations count="2">
    <dataValidation type="list" sqref="E5:E22">
      <formula1>"High,Medium,Low"</formula1>
    </dataValidation>
    <dataValidation type="list" sqref="F5:F22">
      <formula1>"Not Run,Pass,Fail,Blocked"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showGridLines="0" workbookViewId="0">
      <selection activeCell="E15" sqref="E15"/>
    </sheetView>
  </sheetViews>
  <sheetFormatPr defaultRowHeight="13.8"/>
  <cols>
    <col min="1" max="1" width="12.09765625" customWidth="1"/>
    <col min="2" max="2" width="30.69921875" customWidth="1"/>
    <col min="3" max="3" width="45" customWidth="1"/>
    <col min="4" max="4" width="42.09765625" customWidth="1"/>
    <col min="5" max="5" width="12.09765625" customWidth="1"/>
    <col min="6" max="6" width="12.8984375" customWidth="1"/>
    <col min="7" max="8" width="30.69921875" customWidth="1"/>
  </cols>
  <sheetData>
    <row r="1" spans="1:8" ht="24" customHeight="1">
      <c r="A1" s="18" t="s">
        <v>191</v>
      </c>
      <c r="B1" s="19"/>
      <c r="C1" s="19"/>
      <c r="D1" s="19"/>
      <c r="E1" s="19"/>
      <c r="F1" s="19"/>
      <c r="G1" s="19"/>
      <c r="H1" s="19"/>
    </row>
    <row r="2" spans="1:8" ht="14.4">
      <c r="A2" s="20" t="s">
        <v>192</v>
      </c>
      <c r="B2" s="19"/>
      <c r="C2" s="19"/>
      <c r="D2" s="19"/>
      <c r="E2" s="19"/>
      <c r="F2" s="19"/>
      <c r="G2" s="19"/>
      <c r="H2" s="19"/>
    </row>
    <row r="4" spans="1:8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</row>
    <row r="5" spans="1:8" ht="27.6">
      <c r="A5" s="12" t="s">
        <v>193</v>
      </c>
      <c r="B5" s="10" t="s">
        <v>194</v>
      </c>
      <c r="C5" s="10" t="s">
        <v>195</v>
      </c>
      <c r="D5" s="10" t="s">
        <v>196</v>
      </c>
      <c r="E5" s="15" t="s">
        <v>57</v>
      </c>
      <c r="F5" s="15" t="s">
        <v>39</v>
      </c>
      <c r="G5" s="10"/>
      <c r="H5" s="11"/>
    </row>
    <row r="6" spans="1:8" ht="27.6">
      <c r="A6" s="13" t="s">
        <v>197</v>
      </c>
      <c r="B6" s="2" t="s">
        <v>198</v>
      </c>
      <c r="C6" s="2" t="s">
        <v>199</v>
      </c>
      <c r="D6" s="2" t="s">
        <v>200</v>
      </c>
      <c r="E6" s="16" t="s">
        <v>57</v>
      </c>
      <c r="F6" s="16" t="s">
        <v>31</v>
      </c>
      <c r="G6" s="2"/>
      <c r="H6" s="4"/>
    </row>
    <row r="7" spans="1:8">
      <c r="A7" s="13" t="s">
        <v>201</v>
      </c>
      <c r="B7" s="2" t="s">
        <v>202</v>
      </c>
      <c r="C7" s="2" t="s">
        <v>203</v>
      </c>
      <c r="D7" s="2" t="s">
        <v>204</v>
      </c>
      <c r="E7" s="16" t="s">
        <v>57</v>
      </c>
      <c r="F7" s="16" t="s">
        <v>31</v>
      </c>
      <c r="G7" s="2"/>
      <c r="H7" s="4"/>
    </row>
    <row r="8" spans="1:8">
      <c r="A8" s="13" t="s">
        <v>205</v>
      </c>
      <c r="B8" s="2" t="s">
        <v>206</v>
      </c>
      <c r="C8" s="2" t="s">
        <v>207</v>
      </c>
      <c r="D8" s="2" t="s">
        <v>208</v>
      </c>
      <c r="E8" s="16" t="s">
        <v>57</v>
      </c>
      <c r="F8" s="16" t="s">
        <v>39</v>
      </c>
      <c r="G8" s="2"/>
      <c r="H8" s="4"/>
    </row>
    <row r="9" spans="1:8">
      <c r="A9" s="13" t="s">
        <v>209</v>
      </c>
      <c r="B9" s="2" t="s">
        <v>210</v>
      </c>
      <c r="C9" s="2" t="s">
        <v>211</v>
      </c>
      <c r="D9" s="2" t="s">
        <v>212</v>
      </c>
      <c r="E9" s="16" t="s">
        <v>57</v>
      </c>
      <c r="F9" s="16" t="s">
        <v>31</v>
      </c>
      <c r="G9" s="2"/>
      <c r="H9" s="4"/>
    </row>
    <row r="10" spans="1:8">
      <c r="A10" s="14" t="s">
        <v>213</v>
      </c>
      <c r="B10" s="6" t="s">
        <v>214</v>
      </c>
      <c r="C10" s="6" t="s">
        <v>215</v>
      </c>
      <c r="D10" s="6" t="s">
        <v>216</v>
      </c>
      <c r="E10" s="17" t="s">
        <v>66</v>
      </c>
      <c r="F10" s="17" t="s">
        <v>39</v>
      </c>
      <c r="G10" s="6"/>
      <c r="H10" s="7"/>
    </row>
  </sheetData>
  <mergeCells count="2">
    <mergeCell ref="A1:H1"/>
    <mergeCell ref="A2:H2"/>
  </mergeCells>
  <conditionalFormatting sqref="F5:F10">
    <cfRule type="expression" dxfId="3" priority="1">
      <formula>F5="Pass"</formula>
    </cfRule>
    <cfRule type="expression" dxfId="2" priority="2">
      <formula>F5="Fail"</formula>
    </cfRule>
    <cfRule type="expression" dxfId="1" priority="3">
      <formula>F5="Blocked"</formula>
    </cfRule>
    <cfRule type="expression" dxfId="0" priority="4">
      <formula>F5="Not Run"</formula>
    </cfRule>
  </conditionalFormatting>
  <dataValidations count="2">
    <dataValidation type="list" sqref="E5:E10">
      <formula1>"High,Medium,Low"</formula1>
    </dataValidation>
    <dataValidation type="list" sqref="F5:F10">
      <formula1>"Not Run,Pass,Fail,Blocked"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QA Summary</vt:lpstr>
      <vt:lpstr>User Flow</vt:lpstr>
      <vt:lpstr>Admin Flow</vt:lpstr>
      <vt:lpstr>Integration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 U F</cp:lastModifiedBy>
  <dcterms:modified xsi:type="dcterms:W3CDTF">2026-04-23T09:36:46Z</dcterms:modified>
</cp:coreProperties>
</file>